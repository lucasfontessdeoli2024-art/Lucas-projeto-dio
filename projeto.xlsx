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dcc8f2ca15c6f/Documentos/"/>
    </mc:Choice>
  </mc:AlternateContent>
  <xr:revisionPtr revIDLastSave="0" documentId="8_{AFD653B6-B752-42F8-BF36-7EADD2C84A55}" xr6:coauthVersionLast="47" xr6:coauthVersionMax="47" xr10:uidLastSave="{00000000-0000-0000-0000-000000000000}"/>
  <bookViews>
    <workbookView xWindow="-108" yWindow="-108" windowWidth="23256" windowHeight="12456" xr2:uid="{05B23AC7-BFB7-43D4-AA1B-B0AAD7A538EE}"/>
  </bookViews>
  <sheets>
    <sheet name="Planilha1" sheetId="1" r:id="rId1"/>
    <sheet name="Planilha2" sheetId="2" r:id="rId2"/>
  </sheets>
  <definedNames>
    <definedName name="aporte">Planilha1!$C$12</definedName>
    <definedName name="patrimonio">Planilha1!$C$15</definedName>
    <definedName name="qntd_anos">Planilha1!$C$13</definedName>
    <definedName name="Rendimento_carteira">Planilha1!$C$8</definedName>
    <definedName name="taxa_mensal">Planilha1!$C$14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0" i="1" l="1"/>
  <c r="C30" i="1"/>
  <c r="C31" i="1"/>
  <c r="D31" i="1" s="1"/>
  <c r="C32" i="1"/>
  <c r="D32" i="1" s="1"/>
  <c r="C33" i="1"/>
  <c r="D33" i="1" s="1"/>
  <c r="C34" i="1"/>
  <c r="D34" i="1" s="1"/>
  <c r="C29" i="1"/>
  <c r="D29" i="1" s="1"/>
  <c r="H4" i="2"/>
  <c r="A10" i="2"/>
  <c r="A11" i="2"/>
  <c r="A12" i="2"/>
  <c r="A13" i="2"/>
  <c r="A14" i="2"/>
  <c r="A15" i="2"/>
  <c r="A16" i="2"/>
  <c r="A17" i="2"/>
  <c r="A18" i="2"/>
  <c r="A19" i="2"/>
  <c r="A20" i="2"/>
  <c r="A9" i="2"/>
  <c r="A4" i="2"/>
  <c r="A5" i="2"/>
  <c r="A6" i="2"/>
  <c r="A7" i="2"/>
  <c r="A8" i="2"/>
  <c r="A3" i="2"/>
  <c r="C15" i="1"/>
  <c r="C16" i="1" s="1"/>
  <c r="C20" i="1"/>
  <c r="D20" i="1" s="1"/>
  <c r="C21" i="1"/>
  <c r="D21" i="1" s="1"/>
  <c r="C22" i="1"/>
  <c r="D22" i="1" s="1"/>
  <c r="C23" i="1"/>
  <c r="D23" i="1" s="1"/>
  <c r="C19" i="1"/>
  <c r="D19" i="1" s="1"/>
  <c r="C9" i="1"/>
  <c r="D35" i="1" l="1"/>
</calcChain>
</file>

<file path=xl/sharedStrings.xml><?xml version="1.0" encoding="utf-8"?>
<sst xmlns="http://schemas.openxmlformats.org/spreadsheetml/2006/main" count="70" uniqueCount="33">
  <si>
    <t>INVESTIMENTO MENSAL</t>
  </si>
  <si>
    <t>QUANTO INVESTIR POR MÊS?</t>
  </si>
  <si>
    <t>POR QUANTOS ANOS?</t>
  </si>
  <si>
    <t>TAXA DE RENDIMENTO MENSAL?</t>
  </si>
  <si>
    <t>QUANTOS EM 2 ANOS?</t>
  </si>
  <si>
    <t>QUANTOS EM 5 ANOS?</t>
  </si>
  <si>
    <t>QUANTOS EM 10 ANOS?</t>
  </si>
  <si>
    <t>QUANTOS EM 20 ANOS?</t>
  </si>
  <si>
    <t>QUANTOS EM 30 ANOS?</t>
  </si>
  <si>
    <t>Cenários</t>
  </si>
  <si>
    <t>Dividendo</t>
  </si>
  <si>
    <t>Rendimento Carteira</t>
  </si>
  <si>
    <t>Salário</t>
  </si>
  <si>
    <t>PATRIMONIO ACUMULADO?</t>
  </si>
  <si>
    <t>DIVIDENDO MENSAIS?</t>
  </si>
  <si>
    <t>CONFIGURAÇÕES</t>
  </si>
  <si>
    <t>Perfil</t>
  </si>
  <si>
    <t>Valor a ser investido por mês</t>
  </si>
  <si>
    <t>Conservador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</si>
  <si>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</si>
  <si>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</si>
  <si>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</si>
  <si>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</si>
  <si>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</si>
  <si>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</si>
  <si>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</si>
  <si>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</si>
  <si>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</si>
  <si>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%</t>
  </si>
  <si>
    <t>Moderado</t>
  </si>
  <si>
    <t>Arrojado</t>
  </si>
  <si>
    <t>Conservador-Papel</t>
  </si>
  <si>
    <t>Sugestão de Investimento(30%)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</si>
</sst>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4" fillId="0" borderId="0" xfId="0" applyFont="1"/>
    <xf numFmtId="9" fontId="0" fillId="0" borderId="0" xfId="2" applyFont="1"/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0" fillId="0" borderId="4" xfId="0" applyNumberFormat="1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6" xfId="0" applyNumberFormat="1" applyBorder="1"/>
    <xf numFmtId="164" fontId="0" fillId="0" borderId="12" xfId="0" applyNumberFormat="1" applyBorder="1"/>
    <xf numFmtId="164" fontId="0" fillId="0" borderId="8" xfId="0" applyNumberFormat="1" applyBorder="1"/>
    <xf numFmtId="0" fontId="0" fillId="0" borderId="13" xfId="0" applyBorder="1"/>
    <xf numFmtId="164" fontId="0" fillId="0" borderId="14" xfId="0" applyNumberFormat="1" applyBorder="1"/>
    <xf numFmtId="0" fontId="0" fillId="0" borderId="15" xfId="0" applyBorder="1"/>
    <xf numFmtId="0" fontId="0" fillId="0" borderId="16" xfId="0" applyNumberFormat="1" applyBorder="1"/>
    <xf numFmtId="10" fontId="0" fillId="0" borderId="16" xfId="2" applyNumberFormat="1" applyFont="1" applyBorder="1"/>
    <xf numFmtId="8" fontId="0" fillId="0" borderId="16" xfId="1" applyNumberFormat="1" applyFont="1" applyBorder="1"/>
    <xf numFmtId="0" fontId="0" fillId="0" borderId="17" xfId="0" applyBorder="1"/>
    <xf numFmtId="44" fontId="0" fillId="0" borderId="18" xfId="1" applyFont="1" applyBorder="1"/>
    <xf numFmtId="164" fontId="0" fillId="0" borderId="11" xfId="1" applyNumberFormat="1" applyFont="1" applyBorder="1"/>
    <xf numFmtId="9" fontId="0" fillId="0" borderId="6" xfId="2" applyFont="1" applyBorder="1"/>
    <xf numFmtId="164" fontId="0" fillId="0" borderId="8" xfId="1" applyNumberFormat="1" applyFont="1" applyBorder="1"/>
    <xf numFmtId="0" fontId="0" fillId="0" borderId="0" xfId="0" applyAlignment="1">
      <alignment horizontal="center" vertical="center"/>
    </xf>
    <xf numFmtId="9" fontId="0" fillId="0" borderId="0" xfId="2" applyNumberFormat="1" applyFont="1"/>
    <xf numFmtId="0" fontId="0" fillId="0" borderId="19" xfId="0" applyBorder="1"/>
    <xf numFmtId="0" fontId="0" fillId="0" borderId="19" xfId="0" applyBorder="1" applyAlignment="1">
      <alignment horizontal="center" vertical="center"/>
    </xf>
    <xf numFmtId="9" fontId="0" fillId="0" borderId="19" xfId="2" applyNumberFormat="1" applyFont="1" applyBorder="1"/>
    <xf numFmtId="9" fontId="0" fillId="0" borderId="0" xfId="2" applyNumberFormat="1" applyFont="1" applyBorder="1"/>
    <xf numFmtId="9" fontId="0" fillId="0" borderId="10" xfId="2" applyNumberFormat="1" applyFont="1" applyBorder="1"/>
    <xf numFmtId="9" fontId="0" fillId="0" borderId="4" xfId="2" applyNumberFormat="1" applyFont="1" applyBorder="1"/>
    <xf numFmtId="9" fontId="0" fillId="0" borderId="20" xfId="2" applyNumberFormat="1" applyFont="1" applyBorder="1"/>
    <xf numFmtId="0" fontId="6" fillId="4" borderId="21" xfId="0" applyFont="1" applyFill="1" applyBorder="1" applyAlignment="1">
      <alignment horizontal="center" vertical="center"/>
    </xf>
    <xf numFmtId="0" fontId="6" fillId="4" borderId="22" xfId="0" applyFont="1" applyFill="1" applyBorder="1"/>
    <xf numFmtId="0" fontId="6" fillId="4" borderId="23" xfId="0" applyFont="1" applyFill="1" applyBorder="1"/>
    <xf numFmtId="0" fontId="0" fillId="0" borderId="24" xfId="0" applyBorder="1" applyAlignment="1">
      <alignment horizontal="center" vertical="center"/>
    </xf>
    <xf numFmtId="164" fontId="0" fillId="0" borderId="25" xfId="0" applyNumberFormat="1" applyBorder="1"/>
    <xf numFmtId="0" fontId="0" fillId="0" borderId="15" xfId="0" applyBorder="1" applyAlignment="1">
      <alignment horizontal="center" vertical="center"/>
    </xf>
    <xf numFmtId="164" fontId="0" fillId="0" borderId="16" xfId="0" applyNumberFormat="1" applyBorder="1"/>
    <xf numFmtId="0" fontId="0" fillId="0" borderId="26" xfId="0" applyBorder="1" applyAlignment="1">
      <alignment horizontal="center" vertical="center"/>
    </xf>
    <xf numFmtId="164" fontId="0" fillId="0" borderId="27" xfId="0" applyNumberFormat="1" applyBorder="1"/>
    <xf numFmtId="0" fontId="0" fillId="4" borderId="28" xfId="0" applyFill="1" applyBorder="1"/>
    <xf numFmtId="0" fontId="0" fillId="4" borderId="19" xfId="0" applyFill="1" applyBorder="1"/>
    <xf numFmtId="164" fontId="2" fillId="4" borderId="29" xfId="0" applyNumberFormat="1" applyFont="1" applyFill="1" applyBorder="1"/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3" fillId="5" borderId="23" xfId="0" applyFont="1" applyFill="1" applyBorder="1" applyAlignment="1">
      <alignment horizontal="center" vertical="center"/>
    </xf>
    <xf numFmtId="0" fontId="3" fillId="0" borderId="28" xfId="0" applyFont="1" applyBorder="1"/>
    <xf numFmtId="164" fontId="3" fillId="0" borderId="29" xfId="1" applyNumberFormat="1" applyFont="1" applyBorder="1" applyAlignment="1">
      <alignment horizontal="center" vertical="center"/>
    </xf>
    <xf numFmtId="0" fontId="0" fillId="5" borderId="21" xfId="0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0</xdr:row>
      <xdr:rowOff>25042</xdr:rowOff>
    </xdr:from>
    <xdr:to>
      <xdr:col>3</xdr:col>
      <xdr:colOff>1051560</xdr:colOff>
      <xdr:row>4</xdr:row>
      <xdr:rowOff>1005839</xdr:rowOff>
    </xdr:to>
    <xdr:pic>
      <xdr:nvPicPr>
        <xdr:cNvPr id="7" name="Banner Invest Cash">
          <a:extLst>
            <a:ext uri="{FF2B5EF4-FFF2-40B4-BE49-F238E27FC236}">
              <a16:creationId xmlns:a16="http://schemas.microsoft.com/office/drawing/2014/main" id="{DF61BC46-5DFB-4665-8816-AA22003B3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" y="25042"/>
          <a:ext cx="5676900" cy="145323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897F-32C2-4FEE-8EE4-0702A44CB026}">
  <dimension ref="A1:XFD35"/>
  <sheetViews>
    <sheetView showGridLines="0" tabSelected="1" workbookViewId="0">
      <selection activeCell="C26" sqref="C26"/>
    </sheetView>
  </sheetViews>
  <sheetFormatPr defaultColWidth="0" defaultRowHeight="14.4" x14ac:dyDescent="0.3"/>
  <cols>
    <col min="1" max="1" width="8.88671875" customWidth="1"/>
    <col min="2" max="2" width="27.5546875" bestFit="1" customWidth="1"/>
    <col min="3" max="3" width="23.109375" bestFit="1" customWidth="1"/>
    <col min="4" max="4" width="16.6640625" bestFit="1" customWidth="1"/>
    <col min="5" max="5" width="41.109375" hidden="1" customWidth="1"/>
    <col min="6" max="6" width="11.88671875" hidden="1" customWidth="1"/>
    <col min="7" max="7" width="12.77734375" customWidth="1"/>
    <col min="8" max="8" width="7.109375" hidden="1"/>
    <col min="9" max="9" width="10" hidden="1"/>
    <col min="10" max="16374" width="8.88671875" hidden="1"/>
    <col min="16375" max="16375" width="2.33203125" hidden="1"/>
    <col min="16376" max="16376" width="1.77734375" hidden="1"/>
    <col min="16377" max="16377" width="3" hidden="1"/>
    <col min="16378" max="16378" width="3.109375" hidden="1"/>
    <col min="16379" max="16379" width="2.6640625" hidden="1"/>
    <col min="16380" max="16380" width="3" hidden="1"/>
    <col min="16381" max="16381" width="4" hidden="1"/>
    <col min="16382" max="16382" width="10.21875" hidden="1"/>
    <col min="16383" max="16383" width="12.6640625" hidden="1"/>
    <col min="16384" max="16384" width="3.44140625" hidden="1"/>
  </cols>
  <sheetData>
    <row r="1" spans="2:3" ht="2.4" customHeight="1" x14ac:dyDescent="0.3"/>
    <row r="2" spans="2:3" ht="3" customHeight="1" x14ac:dyDescent="0.3"/>
    <row r="4" spans="2:3" ht="17.399999999999999" customHeight="1" x14ac:dyDescent="0.3"/>
    <row r="5" spans="2:3" ht="86.4" customHeight="1" thickBot="1" x14ac:dyDescent="0.35"/>
    <row r="6" spans="2:3" ht="23.4" x14ac:dyDescent="0.3">
      <c r="B6" s="3" t="s">
        <v>15</v>
      </c>
      <c r="C6" s="4"/>
    </row>
    <row r="7" spans="2:3" x14ac:dyDescent="0.3">
      <c r="B7" s="10" t="s">
        <v>12</v>
      </c>
      <c r="C7" s="24">
        <v>5000</v>
      </c>
    </row>
    <row r="8" spans="2:3" x14ac:dyDescent="0.3">
      <c r="B8" s="8" t="s">
        <v>11</v>
      </c>
      <c r="C8" s="25">
        <v>0.01</v>
      </c>
    </row>
    <row r="9" spans="2:3" ht="15" thickBot="1" x14ac:dyDescent="0.35">
      <c r="B9" s="9" t="s">
        <v>32</v>
      </c>
      <c r="C9" s="26">
        <f>C7*30%</f>
        <v>1500</v>
      </c>
    </row>
    <row r="10" spans="2:3" ht="15" thickBot="1" x14ac:dyDescent="0.35"/>
    <row r="11" spans="2:3" ht="43.8" customHeight="1" thickBot="1" x14ac:dyDescent="0.35">
      <c r="B11" s="5" t="s">
        <v>0</v>
      </c>
      <c r="C11" s="48"/>
    </row>
    <row r="12" spans="2:3" x14ac:dyDescent="0.3">
      <c r="B12" s="16" t="s">
        <v>1</v>
      </c>
      <c r="C12" s="17">
        <v>500</v>
      </c>
    </row>
    <row r="13" spans="2:3" x14ac:dyDescent="0.3">
      <c r="B13" s="18" t="s">
        <v>2</v>
      </c>
      <c r="C13" s="19">
        <v>2</v>
      </c>
    </row>
    <row r="14" spans="2:3" x14ac:dyDescent="0.3">
      <c r="B14" s="18" t="s">
        <v>3</v>
      </c>
      <c r="C14" s="20">
        <v>1.14E-2</v>
      </c>
    </row>
    <row r="15" spans="2:3" x14ac:dyDescent="0.3">
      <c r="B15" s="18" t="s">
        <v>13</v>
      </c>
      <c r="C15" s="21">
        <f>FV(taxa_mensal,qntd_anos*12,aporte*-1)</f>
        <v>13712.963247976209</v>
      </c>
    </row>
    <row r="16" spans="2:3" ht="15" thickBot="1" x14ac:dyDescent="0.35">
      <c r="B16" s="22" t="s">
        <v>14</v>
      </c>
      <c r="C16" s="23">
        <f>patrimonio*Rendimento_carteira</f>
        <v>137.12963247976211</v>
      </c>
    </row>
    <row r="17" spans="1:4" ht="15" thickBot="1" x14ac:dyDescent="0.35"/>
    <row r="18" spans="1:4" ht="23.4" x14ac:dyDescent="0.3">
      <c r="B18" s="5" t="s">
        <v>9</v>
      </c>
      <c r="C18" s="6"/>
      <c r="D18" s="49" t="s">
        <v>10</v>
      </c>
    </row>
    <row r="19" spans="1:4" x14ac:dyDescent="0.3">
      <c r="A19" s="1">
        <v>2</v>
      </c>
      <c r="B19" s="10" t="s">
        <v>4</v>
      </c>
      <c r="C19" s="11">
        <f>FV($C$14,$A19*12,$C$12*-1)</f>
        <v>13712.963247976209</v>
      </c>
      <c r="D19" s="12">
        <f>C19*Rendimento_carteira</f>
        <v>137.12963247976211</v>
      </c>
    </row>
    <row r="20" spans="1:4" x14ac:dyDescent="0.3">
      <c r="A20" s="1">
        <v>5</v>
      </c>
      <c r="B20" s="8" t="s">
        <v>5</v>
      </c>
      <c r="C20" s="7">
        <f t="shared" ref="C20:C23" si="0">FV($C$14,$A20*12,$C$12*-1)</f>
        <v>42725.241125784974</v>
      </c>
      <c r="D20" s="13">
        <f>C20*Rendimento_carteira</f>
        <v>427.25241125784976</v>
      </c>
    </row>
    <row r="21" spans="1:4" x14ac:dyDescent="0.3">
      <c r="A21" s="1">
        <v>10</v>
      </c>
      <c r="B21" s="8" t="s">
        <v>6</v>
      </c>
      <c r="C21" s="7">
        <f t="shared" si="0"/>
        <v>127070.65627861745</v>
      </c>
      <c r="D21" s="13">
        <f>C21*Rendimento_carteira</f>
        <v>1270.7065627861746</v>
      </c>
    </row>
    <row r="22" spans="1:4" x14ac:dyDescent="0.3">
      <c r="A22" s="1">
        <v>20</v>
      </c>
      <c r="B22" s="8" t="s">
        <v>7</v>
      </c>
      <c r="C22" s="7">
        <f t="shared" si="0"/>
        <v>622291.81102262554</v>
      </c>
      <c r="D22" s="13">
        <f>C22*Rendimento_carteira</f>
        <v>6222.9181102262555</v>
      </c>
    </row>
    <row r="23" spans="1:4" ht="15" thickBot="1" x14ac:dyDescent="0.35">
      <c r="A23" s="1">
        <v>30</v>
      </c>
      <c r="B23" s="9" t="s">
        <v>8</v>
      </c>
      <c r="C23" s="14">
        <f t="shared" si="0"/>
        <v>2552273.1244760035</v>
      </c>
      <c r="D23" s="15">
        <f>C23*Rendimento_carteira</f>
        <v>25522.731244760034</v>
      </c>
    </row>
    <row r="24" spans="1:4" ht="15" thickBot="1" x14ac:dyDescent="0.35"/>
    <row r="25" spans="1:4" x14ac:dyDescent="0.3">
      <c r="B25" s="53" t="s">
        <v>16</v>
      </c>
      <c r="C25" s="50" t="s">
        <v>18</v>
      </c>
    </row>
    <row r="26" spans="1:4" ht="15" thickBot="1" x14ac:dyDescent="0.35">
      <c r="B26" s="51" t="s">
        <v>17</v>
      </c>
      <c r="C26" s="52">
        <v>500</v>
      </c>
    </row>
    <row r="27" spans="1:4" ht="15" thickBot="1" x14ac:dyDescent="0.35"/>
    <row r="28" spans="1:4" ht="15.6" x14ac:dyDescent="0.3">
      <c r="B28" s="36" t="s">
        <v>19</v>
      </c>
      <c r="C28" s="37" t="s">
        <v>20</v>
      </c>
      <c r="D28" s="38" t="s">
        <v>21</v>
      </c>
    </row>
    <row r="29" spans="1:4" x14ac:dyDescent="0.3">
      <c r="B29" s="39" t="s">
        <v>22</v>
      </c>
      <c r="C29" s="33">
        <f>VLOOKUP($C$25&amp;"-"&amp;B29,Planilha2!A:D,4,FALSE)</f>
        <v>0.5</v>
      </c>
      <c r="D29" s="40">
        <f>C29*$C$26</f>
        <v>250</v>
      </c>
    </row>
    <row r="30" spans="1:4" x14ac:dyDescent="0.3">
      <c r="B30" s="41" t="s">
        <v>23</v>
      </c>
      <c r="C30" s="34">
        <f>VLOOKUP($C$25&amp;"-"&amp;B30,Planilha2!A:D,4,FALSE)</f>
        <v>0.2</v>
      </c>
      <c r="D30" s="42">
        <f>C30*$C$26</f>
        <v>100</v>
      </c>
    </row>
    <row r="31" spans="1:4" x14ac:dyDescent="0.3">
      <c r="B31" s="41" t="s">
        <v>24</v>
      </c>
      <c r="C31" s="34">
        <f>VLOOKUP($C$25&amp;"-"&amp;B31,Planilha2!A:D,4,FALSE)</f>
        <v>0.1</v>
      </c>
      <c r="D31" s="42">
        <f t="shared" ref="D30:D34" si="1">C31*$C$26</f>
        <v>50</v>
      </c>
    </row>
    <row r="32" spans="1:4" x14ac:dyDescent="0.3">
      <c r="B32" s="41" t="s">
        <v>25</v>
      </c>
      <c r="C32" s="34">
        <f>VLOOKUP($C$25&amp;"-"&amp;B32,Planilha2!A:D,4,FALSE)</f>
        <v>0.1</v>
      </c>
      <c r="D32" s="42">
        <f t="shared" si="1"/>
        <v>50</v>
      </c>
    </row>
    <row r="33" spans="2:4" x14ac:dyDescent="0.3">
      <c r="B33" s="41" t="s">
        <v>26</v>
      </c>
      <c r="C33" s="34">
        <f>VLOOKUP($C$25&amp;"-"&amp;B33,Planilha2!A:D,4,FALSE)</f>
        <v>0.1</v>
      </c>
      <c r="D33" s="42">
        <f t="shared" si="1"/>
        <v>50</v>
      </c>
    </row>
    <row r="34" spans="2:4" x14ac:dyDescent="0.3">
      <c r="B34" s="43" t="s">
        <v>27</v>
      </c>
      <c r="C34" s="35">
        <f>VLOOKUP($C$25&amp;"-"&amp;B34,Planilha2!A:D,4,FALSE)</f>
        <v>0</v>
      </c>
      <c r="D34" s="44">
        <f t="shared" si="1"/>
        <v>0</v>
      </c>
    </row>
    <row r="35" spans="2:4" ht="15" thickBot="1" x14ac:dyDescent="0.35">
      <c r="B35" s="45"/>
      <c r="C35" s="46"/>
      <c r="D35" s="47">
        <f>SUM(D29:D34)</f>
        <v>500</v>
      </c>
    </row>
  </sheetData>
  <mergeCells count="3">
    <mergeCell ref="B11:C11"/>
    <mergeCell ref="B18:C18"/>
    <mergeCell ref="B6:C6"/>
  </mergeCells>
  <dataValidations count="1">
    <dataValidation type="list" allowBlank="1" showInputMessage="1" showErrorMessage="1" sqref="C25" xr:uid="{575EDDB5-72FA-467E-9282-843EB4995B87}">
      <formula1>"Conservador,Moderado,Arrojado"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A290-ED84-4C95-979F-13ADD05D597C}">
  <dimension ref="A2:H20"/>
  <sheetViews>
    <sheetView workbookViewId="0">
      <selection activeCell="G8" sqref="G8"/>
    </sheetView>
  </sheetViews>
  <sheetFormatPr defaultRowHeight="14.4" x14ac:dyDescent="0.3"/>
  <cols>
    <col min="1" max="1" width="16.5546875" bestFit="1" customWidth="1"/>
    <col min="2" max="2" width="11.21875" bestFit="1" customWidth="1"/>
    <col min="3" max="3" width="14.77734375" bestFit="1" customWidth="1"/>
    <col min="7" max="7" width="16.5546875" bestFit="1" customWidth="1"/>
  </cols>
  <sheetData>
    <row r="2" spans="1:8" x14ac:dyDescent="0.3">
      <c r="B2" t="s">
        <v>16</v>
      </c>
      <c r="C2" t="s">
        <v>19</v>
      </c>
      <c r="D2" t="s">
        <v>28</v>
      </c>
    </row>
    <row r="3" spans="1:8" x14ac:dyDescent="0.3">
      <c r="A3" t="str">
        <f>B3&amp;"-"&amp;C3</f>
        <v>Conservador-Papel</v>
      </c>
      <c r="B3" t="s">
        <v>18</v>
      </c>
      <c r="C3" s="27" t="s">
        <v>22</v>
      </c>
      <c r="D3" s="28">
        <v>0.5</v>
      </c>
      <c r="H3" t="s">
        <v>28</v>
      </c>
    </row>
    <row r="4" spans="1:8" x14ac:dyDescent="0.3">
      <c r="A4" t="str">
        <f t="shared" ref="A4:A20" si="0">B4&amp;"-"&amp;C4</f>
        <v>Conservador-Tijolo</v>
      </c>
      <c r="B4" t="s">
        <v>18</v>
      </c>
      <c r="C4" s="27" t="s">
        <v>23</v>
      </c>
      <c r="D4" s="28">
        <v>0.2</v>
      </c>
      <c r="G4" t="s">
        <v>31</v>
      </c>
      <c r="H4" s="2">
        <f>VLOOKUP(G4,A:D,4,FALSE)</f>
        <v>0.5</v>
      </c>
    </row>
    <row r="5" spans="1:8" x14ac:dyDescent="0.3">
      <c r="A5" t="str">
        <f t="shared" si="0"/>
        <v>Conservador-Hibridos</v>
      </c>
      <c r="B5" t="s">
        <v>18</v>
      </c>
      <c r="C5" s="27" t="s">
        <v>24</v>
      </c>
      <c r="D5" s="28">
        <v>0.1</v>
      </c>
    </row>
    <row r="6" spans="1:8" x14ac:dyDescent="0.3">
      <c r="A6" t="str">
        <f t="shared" si="0"/>
        <v>Conservador-FOFs</v>
      </c>
      <c r="B6" t="s">
        <v>18</v>
      </c>
      <c r="C6" s="27" t="s">
        <v>25</v>
      </c>
      <c r="D6" s="28">
        <v>0.1</v>
      </c>
    </row>
    <row r="7" spans="1:8" x14ac:dyDescent="0.3">
      <c r="A7" t="str">
        <f t="shared" si="0"/>
        <v>Conservador-Desenvolvimento</v>
      </c>
      <c r="B7" t="s">
        <v>18</v>
      </c>
      <c r="C7" s="27" t="s">
        <v>26</v>
      </c>
      <c r="D7" s="28">
        <v>0.1</v>
      </c>
    </row>
    <row r="8" spans="1:8" ht="15" thickBot="1" x14ac:dyDescent="0.35">
      <c r="A8" s="29" t="str">
        <f t="shared" si="0"/>
        <v>Conservador-Hotelarias</v>
      </c>
      <c r="B8" s="29" t="s">
        <v>18</v>
      </c>
      <c r="C8" s="30" t="s">
        <v>27</v>
      </c>
      <c r="D8" s="31">
        <v>0</v>
      </c>
    </row>
    <row r="9" spans="1:8" x14ac:dyDescent="0.3">
      <c r="A9" t="str">
        <f t="shared" si="0"/>
        <v>Moderado-Papel</v>
      </c>
      <c r="B9" t="s">
        <v>29</v>
      </c>
      <c r="C9" s="27" t="s">
        <v>22</v>
      </c>
      <c r="D9" s="32">
        <v>0.28000000000000003</v>
      </c>
    </row>
    <row r="10" spans="1:8" x14ac:dyDescent="0.3">
      <c r="A10" t="str">
        <f t="shared" si="0"/>
        <v>Moderado-Tijolo</v>
      </c>
      <c r="B10" t="s">
        <v>29</v>
      </c>
      <c r="C10" s="27" t="s">
        <v>23</v>
      </c>
      <c r="D10" s="32">
        <v>0.12</v>
      </c>
    </row>
    <row r="11" spans="1:8" x14ac:dyDescent="0.3">
      <c r="A11" t="str">
        <f t="shared" si="0"/>
        <v>Moderado-Hibridos</v>
      </c>
      <c r="B11" t="s">
        <v>29</v>
      </c>
      <c r="C11" s="27" t="s">
        <v>24</v>
      </c>
      <c r="D11" s="32">
        <v>0.3</v>
      </c>
    </row>
    <row r="12" spans="1:8" x14ac:dyDescent="0.3">
      <c r="A12" t="str">
        <f t="shared" si="0"/>
        <v>Moderado-FOFs</v>
      </c>
      <c r="B12" t="s">
        <v>29</v>
      </c>
      <c r="C12" s="27" t="s">
        <v>25</v>
      </c>
      <c r="D12" s="32">
        <v>0.2</v>
      </c>
    </row>
    <row r="13" spans="1:8" x14ac:dyDescent="0.3">
      <c r="A13" t="str">
        <f t="shared" si="0"/>
        <v>Moderado-Desenvolvimento</v>
      </c>
      <c r="B13" t="s">
        <v>29</v>
      </c>
      <c r="C13" s="27" t="s">
        <v>26</v>
      </c>
      <c r="D13" s="32">
        <v>0.1</v>
      </c>
    </row>
    <row r="14" spans="1:8" ht="15" thickBot="1" x14ac:dyDescent="0.35">
      <c r="A14" s="29" t="str">
        <f t="shared" si="0"/>
        <v>Moderado-Hotelarias</v>
      </c>
      <c r="B14" s="29" t="s">
        <v>29</v>
      </c>
      <c r="C14" s="30" t="s">
        <v>27</v>
      </c>
      <c r="D14" s="31">
        <v>0</v>
      </c>
    </row>
    <row r="15" spans="1:8" x14ac:dyDescent="0.3">
      <c r="A15" t="str">
        <f t="shared" si="0"/>
        <v>Arrojado-Papel</v>
      </c>
      <c r="B15" t="s">
        <v>30</v>
      </c>
      <c r="C15" s="27" t="s">
        <v>22</v>
      </c>
      <c r="D15" s="32">
        <v>0.1</v>
      </c>
    </row>
    <row r="16" spans="1:8" x14ac:dyDescent="0.3">
      <c r="A16" t="str">
        <f t="shared" si="0"/>
        <v>Arrojado-Tijolo</v>
      </c>
      <c r="B16" t="s">
        <v>30</v>
      </c>
      <c r="C16" s="27" t="s">
        <v>23</v>
      </c>
      <c r="D16" s="32">
        <v>0.1</v>
      </c>
    </row>
    <row r="17" spans="1:6" ht="15" thickBot="1" x14ac:dyDescent="0.35">
      <c r="A17" t="str">
        <f t="shared" si="0"/>
        <v>Arrojado-Hibridos</v>
      </c>
      <c r="B17" t="s">
        <v>30</v>
      </c>
      <c r="C17" s="27" t="s">
        <v>24</v>
      </c>
      <c r="D17" s="32">
        <v>0.3</v>
      </c>
      <c r="F17" s="29"/>
    </row>
    <row r="18" spans="1:6" x14ac:dyDescent="0.3">
      <c r="A18" t="str">
        <f t="shared" si="0"/>
        <v>Arrojado-FOFs</v>
      </c>
      <c r="B18" t="s">
        <v>30</v>
      </c>
      <c r="C18" s="27" t="s">
        <v>25</v>
      </c>
      <c r="D18" s="32">
        <v>0.2</v>
      </c>
    </row>
    <row r="19" spans="1:6" x14ac:dyDescent="0.3">
      <c r="A19" t="str">
        <f t="shared" si="0"/>
        <v>Arrojado-Desenvolvimento</v>
      </c>
      <c r="B19" t="s">
        <v>30</v>
      </c>
      <c r="C19" s="27" t="s">
        <v>26</v>
      </c>
      <c r="D19" s="32">
        <v>0.2</v>
      </c>
    </row>
    <row r="20" spans="1:6" x14ac:dyDescent="0.3">
      <c r="A20" t="str">
        <f t="shared" si="0"/>
        <v>Arrojado-Hotelarias</v>
      </c>
      <c r="B20" t="s">
        <v>30</v>
      </c>
      <c r="C20" s="27" t="s">
        <v>27</v>
      </c>
      <c r="D20" s="3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Planilha2</vt:lpstr>
      <vt:lpstr>aporte</vt:lpstr>
      <vt:lpstr>patrimonio</vt:lpstr>
      <vt:lpstr>qntd_anos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Fontes</dc:creator>
  <cp:lastModifiedBy>Lucas Fontes</cp:lastModifiedBy>
  <dcterms:created xsi:type="dcterms:W3CDTF">2026-10-29T22:23:05Z</dcterms:created>
  <dcterms:modified xsi:type="dcterms:W3CDTF">2026-10-30T00:49:07Z</dcterms:modified>
</cp:coreProperties>
</file>